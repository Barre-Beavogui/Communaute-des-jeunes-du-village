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d872dffeb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fb19df17317d4fb2"/>
    <x:sheet xmlns:r="http://schemas.openxmlformats.org/officeDocument/2006/relationships" name="Personnes uniques" sheetId="2" r:id="R577946be62a64559"/>
    <x:sheet xmlns:r="http://schemas.openxmlformats.org/officeDocument/2006/relationships" name="Soumissions brutes" sheetId="3" r:id="R9266eda39c41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@"/>
    <x:numFmt numFmtId="203" formatCode="yyyy-mm-dd hh:mm"/>
  </x:numFmts>
  <x:fonts count="7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5B6470"/>
      <x:name val="Aptos"/>
    </x:font>
    <x:font>
      <x:b/>
      <x:sz val="10"/>
      <x:color rgb="FFFFFFFF"/>
      <x:name val="Aptos"/>
    </x:font>
    <x:font>
      <x:b/>
      <x:sz val="20"/>
      <x:color rgb="FF14532D"/>
      <x:name val="Aptos Display"/>
    </x:font>
    <x:font>
      <x:sz val="10"/>
      <x:color rgb="FF17202A"/>
      <x:name val="Aptos"/>
    </x:font>
    <x:font>
      <x:i/>
      <x:sz val="10"/>
      <x:color rgb="FF17202A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  <x:fill>
      <x:patternFill patternType="solid">
        <x:fgColor rgb="FF166534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</x:fills>
  <x:borders count="7">
    <x:border/>
    <x:border>
      <x:left style="thin">
        <x:color rgb="FFD6DDD8"/>
      </x:left>
      <x:top style="thin">
        <x:color rgb="FFD6DDD8"/>
      </x:top>
    </x:border>
    <x:border>
      <x:right style="thin">
        <x:color rgb="FFD6DDD8"/>
      </x:right>
      <x:top style="thin">
        <x:color rgb="FFD6DDD8"/>
      </x:top>
    </x:border>
    <x:border>
      <x:left style="thin">
        <x:color rgb="FFD6DDD8"/>
      </x:left>
      <x:bottom style="thin">
        <x:color rgb="FFD6DDD8"/>
      </x:bottom>
    </x:border>
    <x:border>
      <x:right style="thin">
        <x:color rgb="FFD6DDD8"/>
      </x:right>
      <x:bottom style="thin">
        <x:color rgb="FFD6DDD8"/>
      </x:bottom>
    </x:border>
    <x:border>
      <x:right style="thin">
        <x:color rgb="FFD6DDD8"/>
      </x:right>
      <x:top style="thin">
        <x:color rgb="FFD6DDD8"/>
      </x:top>
      <x:bottom style="thin">
        <x:color rgb="FFD6DDD8"/>
      </x:bottom>
    </x:border>
    <x:border>
      <x:left style="thin">
        <x:color rgb="FFD6DDD8"/>
      </x:left>
      <x:top style="thin">
        <x:color rgb="FFD6DDD8"/>
      </x:top>
      <x:bottom style="thin">
        <x:color rgb="FFD6DDD8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/>
    <x:xf numFmtId="0" fontId="3" fillId="4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1" xfId="0" applyNumberFormat="1" applyFont="1" applyFill="1" applyBorder="1"/>
    <x:xf numFmtId="201" fontId="5" fillId="0" borderId="6" xfId="0" applyNumberFormat="1" applyFont="1" applyFill="1" applyBorder="1"/>
    <x:xf numFmtId="201" fontId="5" fillId="0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203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23d39d5e1435d" /><Relationship Type="http://schemas.openxmlformats.org/officeDocument/2006/relationships/theme" Target="/xl/theme/theme1.xml" Id="Rfd6798798b1d4660" /><Relationship Type="http://schemas.openxmlformats.org/officeDocument/2006/relationships/sharedStrings" Target="/xl/sharedStrings.xml" Id="R2b3d595b70ef4f4c" /><Relationship Type="http://schemas.openxmlformats.org/officeDocument/2006/relationships/worksheet" Target="/xl/worksheets/sheet1.xml" Id="Rfb19df17317d4fb2" /><Relationship Type="http://schemas.openxmlformats.org/officeDocument/2006/relationships/worksheet" Target="/xl/worksheets/sheet2.xml" Id="R577946be62a64559" /><Relationship Type="http://schemas.openxmlformats.org/officeDocument/2006/relationships/worksheet" Target="/xl/worksheets/sheet3.xml" Id="R9266eda39c414ebe" /></Relationships>
</file>

<file path=xl/tables/table1.xml><?xml version="1.0" encoding="utf-8"?>
<x:table xmlns:x="http://schemas.openxmlformats.org/spreadsheetml/2006/main" id="1" name="PersonnesUniquesTable" displayName="PersonnesUniquesTable" ref="A4:L25" headerRowCount="1" totalsRowCount="0" totalsRowShown="0">
  <x:tableColumns count="12">
    <x:tableColumn id="1" name="N°"/>
    <x:tableColumn id="2" name="Nom"/>
    <x:tableColumn id="3" name="Prénom"/>
    <x:tableColumn id="4" name="Âge"/>
    <x:tableColumn id="5" name="Ville / pays déclaré"/>
    <x:tableColumn id="6" name="Localité normalisée"/>
    <x:tableColumn id="7" name="Téléphone / WhatsApp"/>
    <x:tableColumn id="8" name="Profession / statut"/>
    <x:tableColumn id="9" name="Membre"/>
    <x:tableColumn id="10" name="Dernière soumission"/>
    <x:tableColumn id="11" name="ID Apple Mail"/>
    <x:tableColumn id="12" name="Note de consolidation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SoumissionsBrutesTable" displayName="SoumissionsBrutesTable" ref="A4:L30" headerRowCount="1" totalsRowCount="0" totalsRowShown="0">
  <x:tableColumns count="12">
    <x:tableColumn id="1" name="ID Apple Mail"/>
    <x:tableColumn id="2" name="Date reçue"/>
    <x:tableColumn id="3" name="Nom"/>
    <x:tableColumn id="4" name="Prénom"/>
    <x:tableColumn id="5" name="Âge"/>
    <x:tableColumn id="6" name="Ville / pays"/>
    <x:tableColumn id="7" name="Téléphone / WhatsApp"/>
    <x:tableColumn id="8" name="Profession / statut"/>
    <x:tableColumn id="9" name="Membre"/>
    <x:tableColumn id="10" name="Traitement"/>
    <x:tableColumn id="11" name="ID retenu"/>
    <x:tableColumn id="12" name="Observ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fb18f1cb4b40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c48230c54649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7" hidden="0" customWidth="1"/>
    <x:col min="5" max="5" width="12" hidden="0" customWidth="1"/>
    <x:col min="6" max="6" width="12" hidden="0" customWidth="1"/>
    <x:col min="7" max="7" width="18" hidden="0" customWidth="1"/>
    <x:col min="8" max="8" width="12" hidden="0" customWidth="1"/>
    <x:col min="9" max="9" width="12" hidden="0" customWidth="1"/>
    <x:col min="10" max="10" width="17" hidden="0" customWidth="1"/>
    <x:col min="11" max="11" width="12" hidden="0" customWidth="1"/>
    <x:col min="12" max="12" width="12" hidden="0" customWidth="1"/>
  </x:cols>
  <x:sheetData>
    <x:row r="1" ht="32" customHeight="1">
      <x:c r="A1" s="3" t="str">
        <x:v>Recensement des Jeunes de Zoboroma — Synthèse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Source : 26 notifications Jotform extraites d’Apple Mail (compte iCloud) • Consolidation au 24 août 2026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>
      <x:c r="A4" s="10" t="str">
        <x:v>Personnes uniques</x:v>
      </x:c>
      <x:c r="B4" s="10"/>
      <x:c r="C4" s="10" t="str">
        <x:v>Soumissions reçues</x:v>
      </x:c>
      <x:c r="D4" s="10"/>
      <x:c r="E4" s="10" t="str">
        <x:v>Doublons / mises à jour</x:v>
      </x:c>
      <x:c r="F4" s="10"/>
      <x:c r="G4" s="10" t="str">
        <x:v>Âge moyen</x:v>
      </x:c>
      <x:c r="H4" s="10"/>
      <x:c r="I4" s="10" t="str">
        <x:v>Âge minimum</x:v>
      </x:c>
      <x:c r="J4" s="10"/>
      <x:c r="K4" s="10" t="str">
        <x:v>Âge maximum</x:v>
      </x:c>
      <x:c r="L4" s="10"/>
    </x:row>
    <x:row r="5">
      <x:c r="A5" s="21" t="n">
        <x:f>COUNTA('Personnes uniques'!$A$5:$A$25)</x:f>
        <x:v>21</x:v>
      </x:c>
      <x:c r="B5" s="22"/>
      <x:c r="C5" s="21" t="n">
        <x:f>COUNTA('Soumissions brutes'!$A$5:$A$30)</x:f>
        <x:v>26</x:v>
      </x:c>
      <x:c r="D5" s="22"/>
      <x:c r="E5" s="21" t="n">
        <x:f>COUNTA('Soumissions brutes'!$A$5:$A$30)-COUNTA('Personnes uniques'!$A$5:$A$25)</x:f>
        <x:v>5</x:v>
      </x:c>
      <x:c r="F5" s="22"/>
      <x:c r="G5" s="25" t="n">
        <x:f>AVERAGE('Personnes uniques'!$D$5:$D$25)</x:f>
        <x:v>27.714285714285715</x:v>
      </x:c>
      <x:c r="H5" s="26"/>
      <x:c r="I5" s="21" t="n">
        <x:f>MIN('Personnes uniques'!$D$5:$D$25)</x:f>
        <x:v>19</x:v>
      </x:c>
      <x:c r="J5" s="22"/>
      <x:c r="K5" s="21" t="n">
        <x:f>MAX('Personnes uniques'!$D$5:$D$25)</x:f>
        <x:v>56</x:v>
      </x:c>
      <x:c r="L5" s="22"/>
    </x:row>
    <x:row r="6">
      <x:c r="A6" s="23"/>
      <x:c r="B6" s="24"/>
      <x:c r="C6" s="23"/>
      <x:c r="D6" s="24"/>
      <x:c r="E6" s="23"/>
      <x:c r="F6" s="24"/>
      <x:c r="G6" s="27"/>
      <x:c r="H6" s="28"/>
      <x:c r="I6" s="23"/>
      <x:c r="J6" s="24"/>
      <x:c r="K6" s="23"/>
      <x:c r="L6" s="24"/>
    </x:row>
    <x:row r="7">
      <x:c r="A7" s="45"/>
      <x:c r="B7" s="45"/>
      <x:c r="C7" s="45"/>
      <x:c r="D7" s="45"/>
      <x:c r="E7" s="45"/>
      <x:c r="F7" s="45"/>
      <x:c r="G7" s="45"/>
      <x:c r="H7" s="45"/>
      <x:c r="I7" s="45"/>
      <x:c r="J7" s="45"/>
      <x:c r="K7" s="45"/>
      <x:c r="L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5"/>
    </x:row>
    <x:row r="9">
      <x:c r="A9" s="46" t="str">
        <x:v>Profession / statut</x:v>
      </x:c>
      <x:c r="B9" s="47" t="str">
        <x:v>Nombre</x:v>
      </x:c>
      <x:c r="C9" s="45"/>
      <x:c r="D9" s="46" t="str">
        <x:v>Localité / pays</x:v>
      </x:c>
      <x:c r="E9" s="47" t="str">
        <x:v>Nombre</x:v>
      </x:c>
      <x:c r="F9" s="45"/>
      <x:c r="G9" s="46" t="str">
        <x:v>Tranche d’âge</x:v>
      </x:c>
      <x:c r="H9" s="47" t="str">
        <x:v>Nombre</x:v>
      </x:c>
      <x:c r="I9" s="45"/>
      <x:c r="J9" s="46" t="str">
        <x:v>Adhésion</x:v>
      </x:c>
      <x:c r="K9" s="47" t="str">
        <x:v>Nombre</x:v>
      </x:c>
      <x:c r="L9" s="45"/>
    </x:row>
    <x:row r="10">
      <x:c r="A10" s="48" t="str">
        <x:v>Étudiant</x:v>
      </x:c>
      <x:c r="B10" s="49" t="n">
        <x:f>COUNTIF('Personnes uniques'!$H$5:$H$25,A10)</x:f>
        <x:v>7</x:v>
      </x:c>
      <x:c r="C10" s="50"/>
      <x:c r="D10" s="48" t="str">
        <x:v>Conakry</x:v>
      </x:c>
      <x:c r="E10" s="49" t="n">
        <x:f>COUNTIF('Personnes uniques'!$F$5:$F$25,D10)</x:f>
        <x:v>6</x:v>
      </x:c>
      <x:c r="F10" s="50"/>
      <x:c r="G10" s="48" t="str">
        <x:v>18–24 ans</x:v>
      </x:c>
      <x:c r="H10" s="49" t="n">
        <x:f>COUNTIFS('Personnes uniques'!$D$5:$D$25,"&gt;=18",'Personnes uniques'!$D$5:$D$25,"&lt;=24")</x:f>
        <x:v>8</x:v>
      </x:c>
      <x:c r="I10" s="50"/>
      <x:c r="J10" s="48" t="str">
        <x:v>Déjà membre</x:v>
      </x:c>
      <x:c r="K10" s="49" t="n">
        <x:f>COUNTIF('Personnes uniques'!$I$5:$I$25,"Oui")</x:f>
        <x:v>21</x:v>
      </x:c>
      <x:c r="L10" s="45"/>
    </x:row>
    <x:row r="11">
      <x:c r="A11" s="48" t="str">
        <x:v>Salarié</x:v>
      </x:c>
      <x:c r="B11" s="49" t="n">
        <x:f>COUNTIF('Personnes uniques'!$H$5:$H$25,A11)</x:f>
        <x:v>6</x:v>
      </x:c>
      <x:c r="C11" s="50"/>
      <x:c r="D11" s="48" t="str">
        <x:v>Kindia</x:v>
      </x:c>
      <x:c r="E11" s="49" t="n">
        <x:f>COUNTIF('Personnes uniques'!$F$5:$F$25,D11)</x:f>
        <x:v>4</x:v>
      </x:c>
      <x:c r="F11" s="50"/>
      <x:c r="G11" s="48" t="str">
        <x:v>25–34 ans</x:v>
      </x:c>
      <x:c r="H11" s="49" t="n">
        <x:f>COUNTIFS('Personnes uniques'!$D$5:$D$25,"&gt;=25",'Personnes uniques'!$D$5:$D$25,"&lt;=34")</x:f>
        <x:v>10</x:v>
      </x:c>
      <x:c r="I11" s="50"/>
      <x:c r="J11" s="51" t="str">
        <x:v>Non-membre</x:v>
      </x:c>
      <x:c r="K11" s="52" t="n">
        <x:f>COUNTIF('Personnes uniques'!$I$5:$I$25,"Non")</x:f>
        <x:v>0</x:v>
      </x:c>
      <x:c r="L11" s="45"/>
    </x:row>
    <x:row r="12">
      <x:c r="A12" s="48" t="str">
        <x:v>Autre</x:v>
      </x:c>
      <x:c r="B12" s="49" t="n">
        <x:f>COUNTIF('Personnes uniques'!$H$5:$H$25,A12)</x:f>
        <x:v>4</x:v>
      </x:c>
      <x:c r="C12" s="50"/>
      <x:c r="D12" s="48" t="str">
        <x:v>Mamou</x:v>
      </x:c>
      <x:c r="E12" s="49" t="n">
        <x:f>COUNTIF('Personnes uniques'!$F$5:$F$25,D12)</x:f>
        <x:v>3</x:v>
      </x:c>
      <x:c r="F12" s="50"/>
      <x:c r="G12" s="51" t="str">
        <x:v>35 ans et plus</x:v>
      </x:c>
      <x:c r="H12" s="52" t="n">
        <x:f>COUNTIF('Personnes uniques'!$D$5:$D$25,"&gt;=35")</x:f>
        <x:v>3</x:v>
      </x:c>
      <x:c r="I12" s="50"/>
      <x:c r="J12" s="50"/>
      <x:c r="K12" s="50"/>
      <x:c r="L12" s="45"/>
    </x:row>
    <x:row r="13">
      <x:c r="A13" s="48" t="str">
        <x:v>En recherche d’emploi</x:v>
      </x:c>
      <x:c r="B13" s="49" t="n">
        <x:f>COUNTIF('Personnes uniques'!$H$5:$H$25,A13)</x:f>
        <x:v>2</x:v>
      </x:c>
      <x:c r="C13" s="50"/>
      <x:c r="D13" s="48" t="str">
        <x:v>Beyla</x:v>
      </x:c>
      <x:c r="E13" s="49" t="n">
        <x:f>COUNTIF('Personnes uniques'!$F$5:$F$25,D13)</x:f>
        <x:v>2</x:v>
      </x:c>
      <x:c r="F13" s="50"/>
      <x:c r="G13" s="50"/>
      <x:c r="H13" s="50"/>
      <x:c r="I13" s="50"/>
      <x:c r="J13" s="50"/>
      <x:c r="K13" s="50"/>
      <x:c r="L13" s="45"/>
    </x:row>
    <x:row r="14">
      <x:c r="A14" s="48" t="str">
        <x:v>Élève/Lycéen</x:v>
      </x:c>
      <x:c r="B14" s="49" t="n">
        <x:f>COUNTIF('Personnes uniques'!$H$5:$H$25,A14)</x:f>
        <x:v>1</x:v>
      </x:c>
      <x:c r="C14" s="50"/>
      <x:c r="D14" s="48" t="str">
        <x:v>Labé</x:v>
      </x:c>
      <x:c r="E14" s="49" t="n">
        <x:f>COUNTIF('Personnes uniques'!$F$5:$F$25,D14)</x:f>
        <x:v>1</x:v>
      </x:c>
      <x:c r="F14" s="50"/>
      <x:c r="G14" s="50"/>
      <x:c r="H14" s="50"/>
      <x:c r="I14" s="50"/>
      <x:c r="J14" s="50"/>
      <x:c r="K14" s="50"/>
      <x:c r="L14" s="45"/>
    </x:row>
    <x:row r="15">
      <x:c r="A15" s="51" t="str">
        <x:v>Agriculteur</x:v>
      </x:c>
      <x:c r="B15" s="52" t="n">
        <x:f>COUNTIF('Personnes uniques'!$H$5:$H$25,A15)</x:f>
        <x:v>1</x:v>
      </x:c>
      <x:c r="C15" s="50"/>
      <x:c r="D15" s="48" t="str">
        <x:v>Kankan</x:v>
      </x:c>
      <x:c r="E15" s="49" t="n">
        <x:f>COUNTIF('Personnes uniques'!$F$5:$F$25,D15)</x:f>
        <x:v>1</x:v>
      </x:c>
      <x:c r="F15" s="50"/>
      <x:c r="G15" s="50"/>
      <x:c r="H15" s="50"/>
      <x:c r="I15" s="50"/>
      <x:c r="J15" s="50"/>
      <x:c r="K15" s="50"/>
      <x:c r="L15" s="45"/>
    </x:row>
    <x:row r="16">
      <x:c r="A16" s="50"/>
      <x:c r="B16" s="50"/>
      <x:c r="C16" s="50"/>
      <x:c r="D16" s="48" t="str">
        <x:v>Macenta</x:v>
      </x:c>
      <x:c r="E16" s="49" t="n">
        <x:f>COUNTIF('Personnes uniques'!$F$5:$F$25,D16)</x:f>
        <x:v>1</x:v>
      </x:c>
      <x:c r="F16" s="50"/>
      <x:c r="G16" s="50"/>
      <x:c r="H16" s="50"/>
      <x:c r="I16" s="50"/>
      <x:c r="J16" s="50"/>
      <x:c r="K16" s="50"/>
      <x:c r="L16" s="45"/>
    </x:row>
    <x:row r="17">
      <x:c r="A17" s="50"/>
      <x:c r="B17" s="50"/>
      <x:c r="C17" s="50"/>
      <x:c r="D17" s="48" t="str">
        <x:v>Dubreka</x:v>
      </x:c>
      <x:c r="E17" s="49" t="n">
        <x:f>COUNTIF('Personnes uniques'!$F$5:$F$25,D17)</x:f>
        <x:v>1</x:v>
      </x:c>
      <x:c r="F17" s="50"/>
      <x:c r="G17" s="50"/>
      <x:c r="H17" s="50"/>
      <x:c r="I17" s="50"/>
      <x:c r="J17" s="50"/>
      <x:c r="K17" s="50"/>
      <x:c r="L17" s="45"/>
    </x:row>
    <x:row r="18">
      <x:c r="A18" s="50"/>
      <x:c r="B18" s="50"/>
      <x:c r="C18" s="50"/>
      <x:c r="D18" s="48" t="str">
        <x:v>Liberia</x:v>
      </x:c>
      <x:c r="E18" s="49" t="n">
        <x:f>COUNTIF('Personnes uniques'!$F$5:$F$25,D18)</x:f>
        <x:v>1</x:v>
      </x:c>
      <x:c r="F18" s="50"/>
      <x:c r="G18" s="50"/>
      <x:c r="H18" s="50"/>
      <x:c r="I18" s="50"/>
      <x:c r="J18" s="50"/>
      <x:c r="K18" s="50"/>
      <x:c r="L18" s="45"/>
    </x:row>
    <x:row r="19">
      <x:c r="A19" s="50"/>
      <x:c r="B19" s="50"/>
      <x:c r="C19" s="50"/>
      <x:c r="D19" s="51" t="str">
        <x:v>France</x:v>
      </x:c>
      <x:c r="E19" s="52" t="n">
        <x:f>COUNTIF('Personnes uniques'!$F$5:$F$25,D19)</x:f>
        <x:v>1</x:v>
      </x:c>
      <x:c r="F19" s="50"/>
      <x:c r="G19" s="50"/>
      <x:c r="H19" s="50"/>
      <x:c r="I19" s="50"/>
      <x:c r="J19" s="50"/>
      <x:c r="K19" s="50"/>
      <x:c r="L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</x:row>
    <x:row r="21" ht="30" customHeight="1">
      <x:c r="A21" s="53" t="str">
        <x:v>Règle de consolidation : une personne est identifiée par son numéro de téléphone/WhatsApp ; la soumission la plus récente est conservée.</x:v>
      </x:c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</x:row>
  </x:sheetData>
  <x:mergeCells>
    <x:mergeCell ref="A1:L1"/>
    <x:mergeCell ref="A2:L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21:L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5" hidden="0" customWidth="1"/>
    <x:col min="3" max="3" width="17" hidden="0" customWidth="1"/>
    <x:col min="4" max="4" width="7" hidden="0" customWidth="1"/>
    <x:col min="5" max="5" width="18" hidden="0" customWidth="1"/>
    <x:col min="6" max="6" width="18" hidden="0" customWidth="1"/>
    <x:col min="7" max="7" width="25" hidden="0" customWidth="1"/>
    <x:col min="8" max="8" width="22" hidden="0" customWidth="1"/>
    <x:col min="9" max="9" width="9" hidden="0" customWidth="1"/>
    <x:col min="10" max="10" width="18" hidden="0" customWidth="1"/>
    <x:col min="11" max="11" width="12" hidden="0" customWidth="1"/>
    <x:col min="12" max="12" width="30" hidden="0" customWidth="1"/>
  </x:cols>
  <x:sheetData>
    <x:row r="1" ht="32" customHeight="1">
      <x:c r="A1" s="3" t="str">
        <x:v>Personnes uniques — Registre consolidé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21 personnes • une ligne par numéro de téléphone • valeurs conservées telles que déclarées, avec localité normalisée pour la synthèse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56" t="str">
        <x:v>N°</x:v>
      </x:c>
      <x:c r="B4" s="56" t="str">
        <x:v>Nom</x:v>
      </x:c>
      <x:c r="C4" s="56" t="str">
        <x:v>Prénom</x:v>
      </x:c>
      <x:c r="D4" s="56" t="str">
        <x:v>Âge</x:v>
      </x:c>
      <x:c r="E4" s="56" t="str">
        <x:v>Ville / pays déclaré</x:v>
      </x:c>
      <x:c r="F4" s="56" t="str">
        <x:v>Localité normalisée</x:v>
      </x:c>
      <x:c r="G4" s="56" t="str">
        <x:v>Téléphone / WhatsApp</x:v>
      </x:c>
      <x:c r="H4" s="56" t="str">
        <x:v>Profession / statut</x:v>
      </x:c>
      <x:c r="I4" s="56" t="str">
        <x:v>Membre</x:v>
      </x:c>
      <x:c r="J4" s="56" t="str">
        <x:v>Dernière soumission</x:v>
      </x:c>
      <x:c r="K4" s="56" t="str">
        <x:v>ID Apple Mail</x:v>
      </x:c>
      <x:c r="L4" s="56" t="str">
        <x:v>Note de consolidation</x:v>
      </x:c>
    </x:row>
    <x:row r="5" ht="22" customHeight="1">
      <x:c r="A5" s="60" t="n">
        <x:v>1</x:v>
      </x:c>
      <x:c r="B5" s="50" t="str">
        <x:v>Grovogui</x:v>
      </x:c>
      <x:c r="C5" s="50" t="str">
        <x:v>Pokpa zézé</x:v>
      </x:c>
      <x:c r="D5" s="60" t="n">
        <x:v>56</x:v>
      </x:c>
      <x:c r="E5" s="50" t="str">
        <x:v>Liberia</x:v>
      </x:c>
      <x:c r="F5" s="50" t="str">
        <x:v>Liberia</x:v>
      </x:c>
      <x:c r="G5" s="61" t="str">
        <x:v>+231 776313794 / +231 886886690</x:v>
      </x:c>
      <x:c r="H5" s="50" t="str">
        <x:v>Salarié</x:v>
      </x:c>
      <x:c r="I5" s="60" t="str">
        <x:v>Oui</x:v>
      </x:c>
      <x:c r="J5" s="62" t="n">
        <x:v>46258.148043981484</x:v>
      </x:c>
      <x:c r="K5" s="61" t="str">
        <x:v>61447</x:v>
      </x:c>
      <x:c r="L5" s="63" t="str">
        <x:v>Deux numéros fournis</x:v>
      </x:c>
    </x:row>
    <x:row r="6" ht="22" customHeight="1">
      <x:c r="A6" s="60" t="n">
        <x:v>2</x:v>
      </x:c>
      <x:c r="B6" s="50" t="str">
        <x:v>Béa</x:v>
      </x:c>
      <x:c r="C6" s="50" t="str">
        <x:v>Ibrahim Sefouou</x:v>
      </x:c>
      <x:c r="D6" s="60" t="n">
        <x:v>19</x:v>
      </x:c>
      <x:c r="E6" s="50" t="str">
        <x:v>Labé</x:v>
      </x:c>
      <x:c r="F6" s="50" t="str">
        <x:v>Labé</x:v>
      </x:c>
      <x:c r="G6" s="61" t="str">
        <x:v>613 968 696</x:v>
      </x:c>
      <x:c r="H6" s="50" t="str">
        <x:v>Étudiant</x:v>
      </x:c>
      <x:c r="I6" s="60" t="str">
        <x:v>Oui</x:v>
      </x:c>
      <x:c r="J6" s="62" t="n">
        <x:v>46258.013344907406</x:v>
      </x:c>
      <x:c r="K6" s="61" t="str">
        <x:v>61435</x:v>
      </x:c>
      <x:c r="L6" s="63" t="str"/>
    </x:row>
    <x:row r="7" ht="22" customHeight="1">
      <x:c r="A7" s="60" t="n">
        <x:v>3</x:v>
      </x:c>
      <x:c r="B7" s="50" t="str">
        <x:v>Koivogui</x:v>
      </x:c>
      <x:c r="C7" s="50" t="str">
        <x:v>Emile</x:v>
      </x:c>
      <x:c r="D7" s="60" t="n">
        <x:v>22</x:v>
      </x:c>
      <x:c r="E7" s="50" t="str">
        <x:v>Kindia</x:v>
      </x:c>
      <x:c r="F7" s="50" t="str">
        <x:v>Kindia</x:v>
      </x:c>
      <x:c r="G7" s="61" t="str">
        <x:v>628 589 295</x:v>
      </x:c>
      <x:c r="H7" s="50" t="str">
        <x:v>Étudiant</x:v>
      </x:c>
      <x:c r="I7" s="60" t="str">
        <x:v>Oui</x:v>
      </x:c>
      <x:c r="J7" s="62" t="n">
        <x:v>46257.916921296295</x:v>
      </x:c>
      <x:c r="K7" s="61" t="str">
        <x:v>61432</x:v>
      </x:c>
      <x:c r="L7" s="63" t="str">
        <x:v>Soumission la plus récente parmi 3</x:v>
      </x:c>
    </x:row>
    <x:row r="8" ht="22" customHeight="1">
      <x:c r="A8" s="60" t="n">
        <x:v>4</x:v>
      </x:c>
      <x:c r="B8" s="50" t="str">
        <x:v>Beavogui</x:v>
      </x:c>
      <x:c r="C8" s="50" t="str">
        <x:v>Joseph zeze</x:v>
      </x:c>
      <x:c r="D8" s="60" t="n">
        <x:v>25</x:v>
      </x:c>
      <x:c r="E8" s="50" t="str">
        <x:v>Mamou</x:v>
      </x:c>
      <x:c r="F8" s="50" t="str">
        <x:v>Mamou</x:v>
      </x:c>
      <x:c r="G8" s="61" t="str">
        <x:v>610 780 057</x:v>
      </x:c>
      <x:c r="H8" s="50" t="str">
        <x:v>Salarié</x:v>
      </x:c>
      <x:c r="I8" s="60" t="str">
        <x:v>Oui</x:v>
      </x:c>
      <x:c r="J8" s="62" t="n">
        <x:v>46256.91068287037</x:v>
      </x:c>
      <x:c r="K8" s="61" t="str">
        <x:v>60768</x:v>
      </x:c>
      <x:c r="L8" s="63" t="str">
        <x:v>Doublon reçu 6 secondes plus tôt</x:v>
      </x:c>
    </x:row>
    <x:row r="9" ht="22" customHeight="1">
      <x:c r="A9" s="60" t="n">
        <x:v>5</x:v>
      </x:c>
      <x:c r="B9" s="50" t="str">
        <x:v>koivogui</x:v>
      </x:c>
      <x:c r="C9" s="50" t="str">
        <x:v>Barre Moise</x:v>
      </x:c>
      <x:c r="D9" s="60" t="n">
        <x:v>25</x:v>
      </x:c>
      <x:c r="E9" s="50" t="str">
        <x:v>Beyla</x:v>
      </x:c>
      <x:c r="F9" s="50" t="str">
        <x:v>Beyla</x:v>
      </x:c>
      <x:c r="G9" s="61" t="str">
        <x:v>+224 627 461 940</x:v>
      </x:c>
      <x:c r="H9" s="50" t="str">
        <x:v>En recherche d’emploi</x:v>
      </x:c>
      <x:c r="I9" s="60" t="str">
        <x:v>Oui</x:v>
      </x:c>
      <x:c r="J9" s="62" t="n">
        <x:v>46254.98024305556</x:v>
      </x:c>
      <x:c r="K9" s="61" t="str">
        <x:v>60793</x:v>
      </x:c>
      <x:c r="L9" s="63" t="str">
        <x:v>Âge mis à jour de 24 à 25</x:v>
      </x:c>
    </x:row>
    <x:row r="10" ht="22" customHeight="1">
      <x:c r="A10" s="60" t="n">
        <x:v>6</x:v>
      </x:c>
      <x:c r="B10" s="50" t="str">
        <x:v>Béavogui</x:v>
      </x:c>
      <x:c r="C10" s="50" t="str">
        <x:v>Foromo</x:v>
      </x:c>
      <x:c r="D10" s="60" t="n">
        <x:v>22</x:v>
      </x:c>
      <x:c r="E10" s="50" t="str">
        <x:v>Beyla</x:v>
      </x:c>
      <x:c r="F10" s="50" t="str">
        <x:v>Beyla</x:v>
      </x:c>
      <x:c r="G10" s="61" t="str">
        <x:v>611 353 476</x:v>
      </x:c>
      <x:c r="H10" s="50" t="str">
        <x:v>Élève/Lycéen</x:v>
      </x:c>
      <x:c r="I10" s="60" t="str">
        <x:v>Oui</x:v>
      </x:c>
      <x:c r="J10" s="62" t="n">
        <x:v>46254.95295138889</x:v>
      </x:c>
      <x:c r="K10" s="61" t="str">
        <x:v>60794</x:v>
      </x:c>
      <x:c r="L10" s="63" t="str">
        <x:v>Soumission la plus récente parmi 2</x:v>
      </x:c>
    </x:row>
    <x:row r="11" ht="22" customHeight="1">
      <x:c r="A11" s="60" t="n">
        <x:v>7</x:v>
      </x:c>
      <x:c r="B11" s="50" t="str">
        <x:v>Kalivogui</x:v>
      </x:c>
      <x:c r="C11" s="50" t="str">
        <x:v>Kaba</x:v>
      </x:c>
      <x:c r="D11" s="60" t="n">
        <x:v>20</x:v>
      </x:c>
      <x:c r="E11" s="50" t="str">
        <x:v>Conakry</x:v>
      </x:c>
      <x:c r="F11" s="50" t="str">
        <x:v>Conakry</x:v>
      </x:c>
      <x:c r="G11" s="61" t="str">
        <x:v>624 349 497</x:v>
      </x:c>
      <x:c r="H11" s="50" t="str">
        <x:v>En recherche d’emploi</x:v>
      </x:c>
      <x:c r="I11" s="60" t="str">
        <x:v>Oui</x:v>
      </x:c>
      <x:c r="J11" s="62" t="n">
        <x:v>46254.94741898148</x:v>
      </x:c>
      <x:c r="K11" s="61" t="str">
        <x:v>60795</x:v>
      </x:c>
      <x:c r="L11" s="63" t="str"/>
    </x:row>
    <x:row r="12" ht="22" customHeight="1">
      <x:c r="A12" s="60" t="n">
        <x:v>8</x:v>
      </x:c>
      <x:c r="B12" s="50" t="str">
        <x:v>Koïvogui</x:v>
      </x:c>
      <x:c r="C12" s="50" t="str">
        <x:v>Sèma gouo</x:v>
      </x:c>
      <x:c r="D12" s="60" t="n">
        <x:v>22</x:v>
      </x:c>
      <x:c r="E12" s="50" t="str">
        <x:v>Kankan (Guinée)</x:v>
      </x:c>
      <x:c r="F12" s="50" t="str">
        <x:v>Kankan</x:v>
      </x:c>
      <x:c r="G12" s="61" t="str">
        <x:v>627 198 465</x:v>
      </x:c>
      <x:c r="H12" s="50" t="str">
        <x:v>Étudiant</x:v>
      </x:c>
      <x:c r="I12" s="60" t="str">
        <x:v>Oui</x:v>
      </x:c>
      <x:c r="J12" s="62" t="n">
        <x:v>46252.09460648148</x:v>
      </x:c>
      <x:c r="K12" s="61" t="str">
        <x:v>60855</x:v>
      </x:c>
      <x:c r="L12" s="63" t="str"/>
    </x:row>
    <x:row r="13" ht="22" customHeight="1">
      <x:c r="A13" s="60" t="n">
        <x:v>9</x:v>
      </x:c>
      <x:c r="B13" s="50" t="str">
        <x:v>Kalivogui</x:v>
      </x:c>
      <x:c r="C13" s="50" t="str">
        <x:v>Nette</x:v>
      </x:c>
      <x:c r="D13" s="60" t="n">
        <x:v>19</x:v>
      </x:c>
      <x:c r="E13" s="50" t="str">
        <x:v>Conakry</x:v>
      </x:c>
      <x:c r="F13" s="50" t="str">
        <x:v>Conakry</x:v>
      </x:c>
      <x:c r="G13" s="61" t="str">
        <x:v>629 590 543</x:v>
      </x:c>
      <x:c r="H13" s="50" t="str">
        <x:v>Étudiant</x:v>
      </x:c>
      <x:c r="I13" s="60" t="str">
        <x:v>Oui</x:v>
      </x:c>
      <x:c r="J13" s="62" t="n">
        <x:v>46251.47099537037</x:v>
      </x:c>
      <x:c r="K13" s="61" t="str">
        <x:v>60871</x:v>
      </x:c>
      <x:c r="L13" s="63" t="str"/>
    </x:row>
    <x:row r="14" ht="22" customHeight="1">
      <x:c r="A14" s="60" t="n">
        <x:v>10</x:v>
      </x:c>
      <x:c r="B14" s="50" t="str">
        <x:v>KOIVOGUI</x:v>
      </x:c>
      <x:c r="C14" s="50" t="str">
        <x:v>Daniel Koly</x:v>
      </x:c>
      <x:c r="D14" s="60" t="n">
        <x:v>32</x:v>
      </x:c>
      <x:c r="E14" s="50" t="str">
        <x:v>Kindia</x:v>
      </x:c>
      <x:c r="F14" s="50" t="str">
        <x:v>Kindia</x:v>
      </x:c>
      <x:c r="G14" s="61" t="str">
        <x:v>+224 627 195 602</x:v>
      </x:c>
      <x:c r="H14" s="50" t="str">
        <x:v>Salarié</x:v>
      </x:c>
      <x:c r="I14" s="60" t="str">
        <x:v>Oui</x:v>
      </x:c>
      <x:c r="J14" s="62" t="n">
        <x:v>46251.00373842593</x:v>
      </x:c>
      <x:c r="K14" s="61" t="str">
        <x:v>60877</x:v>
      </x:c>
      <x:c r="L14" s="63" t="str"/>
    </x:row>
    <x:row r="15" ht="22" customHeight="1">
      <x:c r="A15" s="60" t="n">
        <x:v>11</x:v>
      </x:c>
      <x:c r="B15" s="50" t="str">
        <x:v>Koivogui</x:v>
      </x:c>
      <x:c r="C15" s="50" t="str">
        <x:v>Eddy</x:v>
      </x:c>
      <x:c r="D15" s="60" t="n">
        <x:v>27</x:v>
      </x:c>
      <x:c r="E15" s="50" t="str">
        <x:v>Macenta</x:v>
      </x:c>
      <x:c r="F15" s="50" t="str">
        <x:v>Macenta</x:v>
      </x:c>
      <x:c r="G15" s="61" t="str">
        <x:v>610 625 228</x:v>
      </x:c>
      <x:c r="H15" s="50" t="str">
        <x:v>Autre</x:v>
      </x:c>
      <x:c r="I15" s="60" t="str">
        <x:v>Oui</x:v>
      </x:c>
      <x:c r="J15" s="62" t="n">
        <x:v>46250.972453703704</x:v>
      </x:c>
      <x:c r="K15" s="61" t="str">
        <x:v>60878</x:v>
      </x:c>
      <x:c r="L15" s="63" t="str"/>
    </x:row>
    <x:row r="16" ht="22" customHeight="1">
      <x:c r="A16" s="60" t="n">
        <x:v>12</x:v>
      </x:c>
      <x:c r="B16" s="50" t="str">
        <x:v>Kalivogui</x:v>
      </x:c>
      <x:c r="C16" s="50" t="str">
        <x:v>Barre</x:v>
      </x:c>
      <x:c r="D16" s="60" t="n">
        <x:v>30</x:v>
      </x:c>
      <x:c r="E16" s="50" t="str">
        <x:v>Dubreka</x:v>
      </x:c>
      <x:c r="F16" s="50" t="str">
        <x:v>Dubreka</x:v>
      </x:c>
      <x:c r="G16" s="61" t="str">
        <x:v>626 583 070</x:v>
      </x:c>
      <x:c r="H16" s="50" t="str">
        <x:v>Autre</x:v>
      </x:c>
      <x:c r="I16" s="60" t="str">
        <x:v>Oui</x:v>
      </x:c>
      <x:c r="J16" s="62" t="n">
        <x:v>46250.95222222222</x:v>
      </x:c>
      <x:c r="K16" s="61" t="str">
        <x:v>60879</x:v>
      </x:c>
      <x:c r="L16" s="63" t="str"/>
    </x:row>
    <x:row r="17" ht="22" customHeight="1">
      <x:c r="A17" s="60" t="n">
        <x:v>13</x:v>
      </x:c>
      <x:c r="B17" s="50" t="str">
        <x:v>KOÏVOGUI</x:v>
      </x:c>
      <x:c r="C17" s="50" t="str">
        <x:v>Pévé</x:v>
      </x:c>
      <x:c r="D17" s="60" t="n">
        <x:v>35</x:v>
      </x:c>
      <x:c r="E17" s="50" t="str">
        <x:v>Conakry</x:v>
      </x:c>
      <x:c r="F17" s="50" t="str">
        <x:v>Conakry</x:v>
      </x:c>
      <x:c r="G17" s="61" t="str">
        <x:v>620 912 490</x:v>
      </x:c>
      <x:c r="H17" s="50" t="str">
        <x:v>Autre</x:v>
      </x:c>
      <x:c r="I17" s="60" t="str">
        <x:v>Oui</x:v>
      </x:c>
      <x:c r="J17" s="62" t="n">
        <x:v>46250.05650462963</x:v>
      </x:c>
      <x:c r="K17" s="61" t="str">
        <x:v>60946</x:v>
      </x:c>
      <x:c r="L17" s="63" t="str"/>
    </x:row>
    <x:row r="18" ht="22" customHeight="1">
      <x:c r="A18" s="60" t="n">
        <x:v>14</x:v>
      </x:c>
      <x:c r="B18" s="50" t="str">
        <x:v>Kalivogui</x:v>
      </x:c>
      <x:c r="C18" s="50" t="str">
        <x:v>Jacques</x:v>
      </x:c>
      <x:c r="D18" s="60" t="n">
        <x:v>30</x:v>
      </x:c>
      <x:c r="E18" s="50" t="str">
        <x:v>Mamou</x:v>
      </x:c>
      <x:c r="F18" s="50" t="str">
        <x:v>Mamou</x:v>
      </x:c>
      <x:c r="G18" s="61" t="str">
        <x:v>+224 661 286 020</x:v>
      </x:c>
      <x:c r="H18" s="50" t="str">
        <x:v>Salarié</x:v>
      </x:c>
      <x:c r="I18" s="60" t="str">
        <x:v>Oui</x:v>
      </x:c>
      <x:c r="J18" s="62" t="n">
        <x:v>46250.04944444444</x:v>
      </x:c>
      <x:c r="K18" s="61" t="str">
        <x:v>60947</x:v>
      </x:c>
      <x:c r="L18" s="63" t="str"/>
    </x:row>
    <x:row r="19" ht="22" customHeight="1">
      <x:c r="A19" s="60" t="n">
        <x:v>15</x:v>
      </x:c>
      <x:c r="B19" s="50" t="str">
        <x:v>Koïvogui</x:v>
      </x:c>
      <x:c r="C19" s="50" t="str">
        <x:v>Justin kékoura</x:v>
      </x:c>
      <x:c r="D19" s="60" t="n">
        <x:v>32</x:v>
      </x:c>
      <x:c r="E19" s="50" t="str">
        <x:v>Conakry</x:v>
      </x:c>
      <x:c r="F19" s="50" t="str">
        <x:v>Conakry</x:v>
      </x:c>
      <x:c r="G19" s="61" t="str">
        <x:v>612 872 155</x:v>
      </x:c>
      <x:c r="H19" s="50" t="str">
        <x:v>Autre</x:v>
      </x:c>
      <x:c r="I19" s="60" t="str">
        <x:v>Oui</x:v>
      </x:c>
      <x:c r="J19" s="62" t="n">
        <x:v>46250.04670138889</x:v>
      </x:c>
      <x:c r="K19" s="61" t="str">
        <x:v>60948</x:v>
      </x:c>
      <x:c r="L19" s="63" t="str"/>
    </x:row>
    <x:row r="20" ht="22" customHeight="1">
      <x:c r="A20" s="60" t="n">
        <x:v>16</x:v>
      </x:c>
      <x:c r="B20" s="50" t="str">
        <x:v>Koivogui</x:v>
      </x:c>
      <x:c r="C20" s="50" t="str">
        <x:v>Simon pierre</x:v>
      </x:c>
      <x:c r="D20" s="60" t="n">
        <x:v>27</x:v>
      </x:c>
      <x:c r="E20" s="50" t="str">
        <x:v>Conakry</x:v>
      </x:c>
      <x:c r="F20" s="50" t="str">
        <x:v>Conakry</x:v>
      </x:c>
      <x:c r="G20" s="61" t="str">
        <x:v>625 058 109</x:v>
      </x:c>
      <x:c r="H20" s="50" t="str">
        <x:v>Salarié</x:v>
      </x:c>
      <x:c r="I20" s="60" t="str">
        <x:v>Oui</x:v>
      </x:c>
      <x:c r="J20" s="62" t="n">
        <x:v>46250.02520833333</x:v>
      </x:c>
      <x:c r="K20" s="61" t="str">
        <x:v>60949</x:v>
      </x:c>
      <x:c r="L20" s="63" t="str"/>
    </x:row>
    <x:row r="21" ht="22" customHeight="1">
      <x:c r="A21" s="60" t="n">
        <x:v>17</x:v>
      </x:c>
      <x:c r="B21" s="50" t="str">
        <x:v>Koïvogui</x:v>
      </x:c>
      <x:c r="C21" s="50" t="str">
        <x:v>Bernard</x:v>
      </x:c>
      <x:c r="D21" s="60" t="n">
        <x:v>26</x:v>
      </x:c>
      <x:c r="E21" s="50" t="str">
        <x:v>Kindia</x:v>
      </x:c>
      <x:c r="F21" s="50" t="str">
        <x:v>Kindia</x:v>
      </x:c>
      <x:c r="G21" s="61" t="str">
        <x:v>626 426 403</x:v>
      </x:c>
      <x:c r="H21" s="50" t="str">
        <x:v>Étudiant</x:v>
      </x:c>
      <x:c r="I21" s="60" t="str">
        <x:v>Oui</x:v>
      </x:c>
      <x:c r="J21" s="62" t="n">
        <x:v>46250.01828703703</x:v>
      </x:c>
      <x:c r="K21" s="61" t="str">
        <x:v>60950</x:v>
      </x:c>
      <x:c r="L21" s="63" t="str"/>
    </x:row>
    <x:row r="22" ht="22" customHeight="1">
      <x:c r="A22" s="60" t="n">
        <x:v>18</x:v>
      </x:c>
      <x:c r="B22" s="50" t="str">
        <x:v>Koïvogui</x:v>
      </x:c>
      <x:c r="C22" s="50" t="str">
        <x:v>Barrès</x:v>
      </x:c>
      <x:c r="D22" s="60" t="n">
        <x:v>24</x:v>
      </x:c>
      <x:c r="E22" s="50" t="str">
        <x:v>Kindia</x:v>
      </x:c>
      <x:c r="F22" s="50" t="str">
        <x:v>Kindia</x:v>
      </x:c>
      <x:c r="G22" s="61" t="str">
        <x:v>626 108 181</x:v>
      </x:c>
      <x:c r="H22" s="50" t="str">
        <x:v>Étudiant</x:v>
      </x:c>
      <x:c r="I22" s="60" t="str">
        <x:v>Oui</x:v>
      </x:c>
      <x:c r="J22" s="62" t="n">
        <x:v>46250.017592592594</x:v>
      </x:c>
      <x:c r="K22" s="61" t="str">
        <x:v>60951</x:v>
      </x:c>
      <x:c r="L22" s="63" t="str"/>
    </x:row>
    <x:row r="23" ht="22" customHeight="1">
      <x:c r="A23" s="60" t="n">
        <x:v>19</x:v>
      </x:c>
      <x:c r="B23" s="50" t="str">
        <x:v>Guilavogui</x:v>
      </x:c>
      <x:c r="C23" s="50" t="str">
        <x:v>Barrè</x:v>
      </x:c>
      <x:c r="D23" s="60" t="n">
        <x:v>29</x:v>
      </x:c>
      <x:c r="E23" s="50" t="str">
        <x:v>Mamou</x:v>
      </x:c>
      <x:c r="F23" s="50" t="str">
        <x:v>Mamou</x:v>
      </x:c>
      <x:c r="G23" s="61" t="str">
        <x:v>+224 613 414 251</x:v>
      </x:c>
      <x:c r="H23" s="50" t="str">
        <x:v>Agriculteur</x:v>
      </x:c>
      <x:c r="I23" s="60" t="str">
        <x:v>Oui</x:v>
      </x:c>
      <x:c r="J23" s="62" t="n">
        <x:v>46250.011979166666</x:v>
      </x:c>
      <x:c r="K23" s="61" t="str">
        <x:v>60953</x:v>
      </x:c>
      <x:c r="L23" s="63" t="str"/>
    </x:row>
    <x:row r="24" ht="22" customHeight="1">
      <x:c r="A24" s="60" t="n">
        <x:v>20</x:v>
      </x:c>
      <x:c r="B24" s="50" t="str">
        <x:v>BEAVOGUI</x:v>
      </x:c>
      <x:c r="C24" s="50" t="str">
        <x:v>GBADE</x:v>
      </x:c>
      <x:c r="D24" s="60" t="n">
        <x:v>36</x:v>
      </x:c>
      <x:c r="E24" s="50" t="str">
        <x:v>CONAKRY</x:v>
      </x:c>
      <x:c r="F24" s="50" t="str">
        <x:v>Conakry</x:v>
      </x:c>
      <x:c r="G24" s="61" t="str">
        <x:v>+224 624 737 188</x:v>
      </x:c>
      <x:c r="H24" s="50" t="str">
        <x:v>Salarié</x:v>
      </x:c>
      <x:c r="I24" s="60" t="str">
        <x:v>Oui</x:v>
      </x:c>
      <x:c r="J24" s="62" t="n">
        <x:v>46250.01126157407</x:v>
      </x:c>
      <x:c r="K24" s="61" t="str">
        <x:v>60955</x:v>
      </x:c>
      <x:c r="L24" s="63" t="str"/>
    </x:row>
    <x:row r="25" ht="22" customHeight="1">
      <x:c r="A25" s="60" t="n">
        <x:v>21</x:v>
      </x:c>
      <x:c r="B25" s="50" t="str">
        <x:v>BEAVOGUI</x:v>
      </x:c>
      <x:c r="C25" s="50" t="str">
        <x:v>Barre</x:v>
      </x:c>
      <x:c r="D25" s="60" t="n">
        <x:v>24</x:v>
      </x:c>
      <x:c r="E25" s="50" t="str">
        <x:v>France</x:v>
      </x:c>
      <x:c r="F25" s="50" t="str">
        <x:v>France</x:v>
      </x:c>
      <x:c r="G25" s="61" t="str">
        <x:v>07 58 07 09 22</x:v>
      </x:c>
      <x:c r="H25" s="50" t="str">
        <x:v>Étudiant</x:v>
      </x:c>
      <x:c r="I25" s="60" t="str">
        <x:v>Oui</x:v>
      </x:c>
      <x:c r="J25" s="62" t="n">
        <x:v>46250.00355324074</x:v>
      </x:c>
      <x:c r="K25" s="61" t="str">
        <x:v>60957</x:v>
      </x:c>
      <x:c r="L25" s="63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6fb18f1cb4b40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7" hidden="0" customWidth="1"/>
    <x:col min="5" max="5" width="7" hidden="0" customWidth="1"/>
    <x:col min="6" max="6" width="18" hidden="0" customWidth="1"/>
    <x:col min="7" max="7" width="25" hidden="0" customWidth="1"/>
    <x:col min="8" max="8" width="22" hidden="0" customWidth="1"/>
    <x:col min="9" max="9" width="9" hidden="0" customWidth="1"/>
    <x:col min="10" max="10" width="22" hidden="0" customWidth="1"/>
    <x:col min="11" max="11" width="12" hidden="0" customWidth="1"/>
    <x:col min="12" max="12" width="34" hidden="0" customWidth="1"/>
  </x:cols>
  <x:sheetData>
    <x:row r="1" ht="32" customHeight="1">
      <x:c r="A1" s="3" t="str">
        <x:v>Soumissions Jotform — Historique brut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26 messages extraits d’Apple Mail • les doublons et versions antérieures restent visibles pour audit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56" t="str">
        <x:v>ID Apple Mail</x:v>
      </x:c>
      <x:c r="B4" s="56" t="str">
        <x:v>Date reçue</x:v>
      </x:c>
      <x:c r="C4" s="56" t="str">
        <x:v>Nom</x:v>
      </x:c>
      <x:c r="D4" s="56" t="str">
        <x:v>Prénom</x:v>
      </x:c>
      <x:c r="E4" s="56" t="str">
        <x:v>Âge</x:v>
      </x:c>
      <x:c r="F4" s="56" t="str">
        <x:v>Ville / pays</x:v>
      </x:c>
      <x:c r="G4" s="56" t="str">
        <x:v>Téléphone / WhatsApp</x:v>
      </x:c>
      <x:c r="H4" s="56" t="str">
        <x:v>Profession / statut</x:v>
      </x:c>
      <x:c r="I4" s="56" t="str">
        <x:v>Membre</x:v>
      </x:c>
      <x:c r="J4" s="56" t="str">
        <x:v>Traitement</x:v>
      </x:c>
      <x:c r="K4" s="56" t="str">
        <x:v>ID retenu</x:v>
      </x:c>
      <x:c r="L4" s="56" t="str">
        <x:v>Observation</x:v>
      </x:c>
    </x:row>
    <x:row r="5" ht="22" customHeight="1">
      <x:c r="A5" s="61" t="str">
        <x:v>61447</x:v>
      </x:c>
      <x:c r="B5" s="62" t="n">
        <x:v>46258.148043981484</x:v>
      </x:c>
      <x:c r="C5" s="50" t="str">
        <x:v>Grovogui</x:v>
      </x:c>
      <x:c r="D5" s="50" t="str">
        <x:v>Pokpa zézé</x:v>
      </x:c>
      <x:c r="E5" s="60" t="n">
        <x:v>56</x:v>
      </x:c>
      <x:c r="F5" s="50" t="str">
        <x:v>Liberia</x:v>
      </x:c>
      <x:c r="G5" s="61" t="str">
        <x:v>+231 776313794 / +231 886886690</x:v>
      </x:c>
      <x:c r="H5" s="50" t="str">
        <x:v>Salarié</x:v>
      </x:c>
      <x:c r="I5" s="60" t="str">
        <x:v>Oui</x:v>
      </x:c>
      <x:c r="J5" s="50" t="str">
        <x:v>Retenue</x:v>
      </x:c>
      <x:c r="K5" s="61" t="str">
        <x:v>61447</x:v>
      </x:c>
      <x:c r="L5" s="63" t="str">
        <x:v>Deux numéros fournis</x:v>
      </x:c>
    </x:row>
    <x:row r="6" ht="22" customHeight="1">
      <x:c r="A6" s="61" t="str">
        <x:v>61435</x:v>
      </x:c>
      <x:c r="B6" s="62" t="n">
        <x:v>46258.013344907406</x:v>
      </x:c>
      <x:c r="C6" s="50" t="str">
        <x:v>Béa</x:v>
      </x:c>
      <x:c r="D6" s="50" t="str">
        <x:v>Ibrahim Sefouou</x:v>
      </x:c>
      <x:c r="E6" s="60" t="n">
        <x:v>19</x:v>
      </x:c>
      <x:c r="F6" s="50" t="str">
        <x:v>Labé</x:v>
      </x:c>
      <x:c r="G6" s="61" t="str">
        <x:v>613 968 696</x:v>
      </x:c>
      <x:c r="H6" s="50" t="str">
        <x:v>Étudiant</x:v>
      </x:c>
      <x:c r="I6" s="60" t="str">
        <x:v>Oui</x:v>
      </x:c>
      <x:c r="J6" s="50" t="str">
        <x:v>Retenue</x:v>
      </x:c>
      <x:c r="K6" s="61" t="str">
        <x:v>61435</x:v>
      </x:c>
      <x:c r="L6" s="63" t="str"/>
    </x:row>
    <x:row r="7" ht="22" customHeight="1">
      <x:c r="A7" s="61" t="str">
        <x:v>61432</x:v>
      </x:c>
      <x:c r="B7" s="62" t="n">
        <x:v>46257.916921296295</x:v>
      </x:c>
      <x:c r="C7" s="50" t="str">
        <x:v>Koivogui</x:v>
      </x:c>
      <x:c r="D7" s="50" t="str">
        <x:v>Emile</x:v>
      </x:c>
      <x:c r="E7" s="60" t="n">
        <x:v>22</x:v>
      </x:c>
      <x:c r="F7" s="50" t="str">
        <x:v>Kindia</x:v>
      </x:c>
      <x:c r="G7" s="61" t="str">
        <x:v>628 589 295</x:v>
      </x:c>
      <x:c r="H7" s="50" t="str">
        <x:v>Étudiant</x:v>
      </x:c>
      <x:c r="I7" s="60" t="str">
        <x:v>Oui</x:v>
      </x:c>
      <x:c r="J7" s="50" t="str">
        <x:v>Retenue</x:v>
      </x:c>
      <x:c r="K7" s="61" t="str">
        <x:v>61432</x:v>
      </x:c>
      <x:c r="L7" s="63" t="str">
        <x:v>Soumission la plus récente parmi 3</x:v>
      </x:c>
    </x:row>
    <x:row r="8" ht="22" customHeight="1">
      <x:c r="A8" s="61" t="str">
        <x:v>60768</x:v>
      </x:c>
      <x:c r="B8" s="62" t="n">
        <x:v>46256.91068287037</x:v>
      </x:c>
      <x:c r="C8" s="50" t="str">
        <x:v>Beavogui</x:v>
      </x:c>
      <x:c r="D8" s="50" t="str">
        <x:v>Joseph zeze</x:v>
      </x:c>
      <x:c r="E8" s="60" t="n">
        <x:v>25</x:v>
      </x:c>
      <x:c r="F8" s="50" t="str">
        <x:v>Mamou</x:v>
      </x:c>
      <x:c r="G8" s="61" t="str">
        <x:v>610 780 057</x:v>
      </x:c>
      <x:c r="H8" s="50" t="str">
        <x:v>Salarié</x:v>
      </x:c>
      <x:c r="I8" s="60" t="str">
        <x:v>Oui</x:v>
      </x:c>
      <x:c r="J8" s="50" t="str">
        <x:v>Retenue</x:v>
      </x:c>
      <x:c r="K8" s="61" t="str">
        <x:v>60768</x:v>
      </x:c>
      <x:c r="L8" s="63" t="str">
        <x:v>Doublon reçu 6 secondes plus tôt</x:v>
      </x:c>
    </x:row>
    <x:row r="9" ht="22" customHeight="1">
      <x:c r="A9" s="61" t="str">
        <x:v>60769</x:v>
      </x:c>
      <x:c r="B9" s="62" t="n">
        <x:v>46256.91061342593</x:v>
      </x:c>
      <x:c r="C9" s="50" t="str">
        <x:v>Beavogui</x:v>
      </x:c>
      <x:c r="D9" s="50" t="str">
        <x:v>Joseph zeze</x:v>
      </x:c>
      <x:c r="E9" s="60" t="n">
        <x:v>25</x:v>
      </x:c>
      <x:c r="F9" s="50" t="str">
        <x:v>Mamou</x:v>
      </x:c>
      <x:c r="G9" s="61" t="str">
        <x:v>610 780 057</x:v>
      </x:c>
      <x:c r="H9" s="50" t="str">
        <x:v>Salarié</x:v>
      </x:c>
      <x:c r="I9" s="60" t="str">
        <x:v>Oui</x:v>
      </x:c>
      <x:c r="J9" s="50" t="str">
        <x:v>Doublon</x:v>
      </x:c>
      <x:c r="K9" s="61" t="str">
        <x:v>60768</x:v>
      </x:c>
      <x:c r="L9" s="63" t="str">
        <x:v>Même réponse, reçue 6 secondes avant</x:v>
      </x:c>
    </x:row>
    <x:row r="10" ht="22" customHeight="1">
      <x:c r="A10" s="61" t="str">
        <x:v>60793</x:v>
      </x:c>
      <x:c r="B10" s="62" t="n">
        <x:v>46254.98024305556</x:v>
      </x:c>
      <x:c r="C10" s="50" t="str">
        <x:v>koivogui</x:v>
      </x:c>
      <x:c r="D10" s="50" t="str">
        <x:v>Barre Moise</x:v>
      </x:c>
      <x:c r="E10" s="60" t="n">
        <x:v>25</x:v>
      </x:c>
      <x:c r="F10" s="50" t="str">
        <x:v>Beyla</x:v>
      </x:c>
      <x:c r="G10" s="61" t="str">
        <x:v>+224 627 461 940</x:v>
      </x:c>
      <x:c r="H10" s="50" t="str">
        <x:v>En recherche d’emploi</x:v>
      </x:c>
      <x:c r="I10" s="60" t="str">
        <x:v>Oui</x:v>
      </x:c>
      <x:c r="J10" s="50" t="str">
        <x:v>Retenue</x:v>
      </x:c>
      <x:c r="K10" s="61" t="str">
        <x:v>60793</x:v>
      </x:c>
      <x:c r="L10" s="63" t="str">
        <x:v>Âge mis à jour de 24 à 25</x:v>
      </x:c>
    </x:row>
    <x:row r="11" ht="22" customHeight="1">
      <x:c r="A11" s="61" t="str">
        <x:v>60794</x:v>
      </x:c>
      <x:c r="B11" s="62" t="n">
        <x:v>46254.95295138889</x:v>
      </x:c>
      <x:c r="C11" s="50" t="str">
        <x:v>Béavogui</x:v>
      </x:c>
      <x:c r="D11" s="50" t="str">
        <x:v>Foromo</x:v>
      </x:c>
      <x:c r="E11" s="60" t="n">
        <x:v>22</x:v>
      </x:c>
      <x:c r="F11" s="50" t="str">
        <x:v>Beyla</x:v>
      </x:c>
      <x:c r="G11" s="61" t="str">
        <x:v>611 353 476</x:v>
      </x:c>
      <x:c r="H11" s="50" t="str">
        <x:v>Élève/Lycéen</x:v>
      </x:c>
      <x:c r="I11" s="60" t="str">
        <x:v>Oui</x:v>
      </x:c>
      <x:c r="J11" s="50" t="str">
        <x:v>Retenue</x:v>
      </x:c>
      <x:c r="K11" s="61" t="str">
        <x:v>60794</x:v>
      </x:c>
      <x:c r="L11" s="63" t="str">
        <x:v>Soumission la plus récente parmi 2</x:v>
      </x:c>
    </x:row>
    <x:row r="12" ht="22" customHeight="1">
      <x:c r="A12" s="61" t="str">
        <x:v>60795</x:v>
      </x:c>
      <x:c r="B12" s="62" t="n">
        <x:v>46254.94741898148</x:v>
      </x:c>
      <x:c r="C12" s="50" t="str">
        <x:v>Kalivogui</x:v>
      </x:c>
      <x:c r="D12" s="50" t="str">
        <x:v>Kaba</x:v>
      </x:c>
      <x:c r="E12" s="60" t="n">
        <x:v>20</x:v>
      </x:c>
      <x:c r="F12" s="50" t="str">
        <x:v>Conakry</x:v>
      </x:c>
      <x:c r="G12" s="61" t="str">
        <x:v>624 349 497</x:v>
      </x:c>
      <x:c r="H12" s="50" t="str">
        <x:v>En recherche d’emploi</x:v>
      </x:c>
      <x:c r="I12" s="60" t="str">
        <x:v>Oui</x:v>
      </x:c>
      <x:c r="J12" s="50" t="str">
        <x:v>Retenue</x:v>
      </x:c>
      <x:c r="K12" s="61" t="str">
        <x:v>60795</x:v>
      </x:c>
      <x:c r="L12" s="63" t="str"/>
    </x:row>
    <x:row r="13" ht="22" customHeight="1">
      <x:c r="A13" s="61" t="str">
        <x:v>60855</x:v>
      </x:c>
      <x:c r="B13" s="62" t="n">
        <x:v>46252.09460648148</x:v>
      </x:c>
      <x:c r="C13" s="50" t="str">
        <x:v>Koïvogui</x:v>
      </x:c>
      <x:c r="D13" s="50" t="str">
        <x:v>Sèma gouo</x:v>
      </x:c>
      <x:c r="E13" s="60" t="n">
        <x:v>22</x:v>
      </x:c>
      <x:c r="F13" s="50" t="str">
        <x:v>Kankan (Guinée)</x:v>
      </x:c>
      <x:c r="G13" s="61" t="str">
        <x:v>627 198 465</x:v>
      </x:c>
      <x:c r="H13" s="50" t="str">
        <x:v>Étudiant</x:v>
      </x:c>
      <x:c r="I13" s="60" t="str">
        <x:v>Oui</x:v>
      </x:c>
      <x:c r="J13" s="50" t="str">
        <x:v>Retenue</x:v>
      </x:c>
      <x:c r="K13" s="61" t="str">
        <x:v>60855</x:v>
      </x:c>
      <x:c r="L13" s="63" t="str"/>
    </x:row>
    <x:row r="14" ht="22" customHeight="1">
      <x:c r="A14" s="61" t="str">
        <x:v>60871</x:v>
      </x:c>
      <x:c r="B14" s="62" t="n">
        <x:v>46251.47099537037</x:v>
      </x:c>
      <x:c r="C14" s="50" t="str">
        <x:v>Kalivogui</x:v>
      </x:c>
      <x:c r="D14" s="50" t="str">
        <x:v>Nette</x:v>
      </x:c>
      <x:c r="E14" s="60" t="n">
        <x:v>19</x:v>
      </x:c>
      <x:c r="F14" s="50" t="str">
        <x:v>Conakry</x:v>
      </x:c>
      <x:c r="G14" s="61" t="str">
        <x:v>629 590 543</x:v>
      </x:c>
      <x:c r="H14" s="50" t="str">
        <x:v>Étudiant</x:v>
      </x:c>
      <x:c r="I14" s="60" t="str">
        <x:v>Oui</x:v>
      </x:c>
      <x:c r="J14" s="50" t="str">
        <x:v>Retenue</x:v>
      </x:c>
      <x:c r="K14" s="61" t="str">
        <x:v>60871</x:v>
      </x:c>
      <x:c r="L14" s="63" t="str"/>
    </x:row>
    <x:row r="15" ht="22" customHeight="1">
      <x:c r="A15" s="61" t="str">
        <x:v>60875</x:v>
      </x:c>
      <x:c r="B15" s="62" t="n">
        <x:v>46251.055127314816</x:v>
      </x:c>
      <x:c r="C15" s="50" t="str">
        <x:v>Koivogui</x:v>
      </x:c>
      <x:c r="D15" s="50" t="str">
        <x:v>Emile</x:v>
      </x:c>
      <x:c r="E15" s="60" t="n">
        <x:v>22</x:v>
      </x:c>
      <x:c r="F15" s="50" t="str">
        <x:v>Kindia</x:v>
      </x:c>
      <x:c r="G15" s="61" t="str">
        <x:v>628 589 295</x:v>
      </x:c>
      <x:c r="H15" s="50" t="str">
        <x:v>Étudiant</x:v>
      </x:c>
      <x:c r="I15" s="60" t="str">
        <x:v>Oui</x:v>
      </x:c>
      <x:c r="J15" s="50" t="str">
        <x:v>Mise à jour antérieure</x:v>
      </x:c>
      <x:c r="K15" s="61" t="str">
        <x:v>61432</x:v>
      </x:c>
      <x:c r="L15" s="63" t="str">
        <x:v>Réponse remplacée par celle du 23 août</x:v>
      </x:c>
    </x:row>
    <x:row r="16" ht="22" customHeight="1">
      <x:c r="A16" s="61" t="str">
        <x:v>60877</x:v>
      </x:c>
      <x:c r="B16" s="62" t="n">
        <x:v>46251.00373842593</x:v>
      </x:c>
      <x:c r="C16" s="50" t="str">
        <x:v>KOIVOGUI</x:v>
      </x:c>
      <x:c r="D16" s="50" t="str">
        <x:v>Daniel Koly</x:v>
      </x:c>
      <x:c r="E16" s="60" t="n">
        <x:v>32</x:v>
      </x:c>
      <x:c r="F16" s="50" t="str">
        <x:v>Kindia</x:v>
      </x:c>
      <x:c r="G16" s="61" t="str">
        <x:v>+224 627 195 602</x:v>
      </x:c>
      <x:c r="H16" s="50" t="str">
        <x:v>Salarié</x:v>
      </x:c>
      <x:c r="I16" s="60" t="str">
        <x:v>Oui</x:v>
      </x:c>
      <x:c r="J16" s="50" t="str">
        <x:v>Retenue</x:v>
      </x:c>
      <x:c r="K16" s="61" t="str">
        <x:v>60877</x:v>
      </x:c>
      <x:c r="L16" s="63" t="str"/>
    </x:row>
    <x:row r="17" ht="22" customHeight="1">
      <x:c r="A17" s="61" t="str">
        <x:v>60878</x:v>
      </x:c>
      <x:c r="B17" s="62" t="n">
        <x:v>46250.972453703704</x:v>
      </x:c>
      <x:c r="C17" s="50" t="str">
        <x:v>Koivogui</x:v>
      </x:c>
      <x:c r="D17" s="50" t="str">
        <x:v>Eddy</x:v>
      </x:c>
      <x:c r="E17" s="60" t="n">
        <x:v>27</x:v>
      </x:c>
      <x:c r="F17" s="50" t="str">
        <x:v>Macenta</x:v>
      </x:c>
      <x:c r="G17" s="61" t="str">
        <x:v>610 625 228</x:v>
      </x:c>
      <x:c r="H17" s="50" t="str">
        <x:v>Autre</x:v>
      </x:c>
      <x:c r="I17" s="60" t="str">
        <x:v>Oui</x:v>
      </x:c>
      <x:c r="J17" s="50" t="str">
        <x:v>Retenue</x:v>
      </x:c>
      <x:c r="K17" s="61" t="str">
        <x:v>60878</x:v>
      </x:c>
      <x:c r="L17" s="63" t="str"/>
    </x:row>
    <x:row r="18" ht="22" customHeight="1">
      <x:c r="A18" s="61" t="str">
        <x:v>60879</x:v>
      </x:c>
      <x:c r="B18" s="62" t="n">
        <x:v>46250.95222222222</x:v>
      </x:c>
      <x:c r="C18" s="50" t="str">
        <x:v>Kalivogui</x:v>
      </x:c>
      <x:c r="D18" s="50" t="str">
        <x:v>Barre</x:v>
      </x:c>
      <x:c r="E18" s="60" t="n">
        <x:v>30</x:v>
      </x:c>
      <x:c r="F18" s="50" t="str">
        <x:v>Dubreka</x:v>
      </x:c>
      <x:c r="G18" s="61" t="str">
        <x:v>626 583 070</x:v>
      </x:c>
      <x:c r="H18" s="50" t="str">
        <x:v>Autre</x:v>
      </x:c>
      <x:c r="I18" s="60" t="str">
        <x:v>Oui</x:v>
      </x:c>
      <x:c r="J18" s="50" t="str">
        <x:v>Retenue</x:v>
      </x:c>
      <x:c r="K18" s="61" t="str">
        <x:v>60879</x:v>
      </x:c>
      <x:c r="L18" s="63" t="str"/>
    </x:row>
    <x:row r="19" ht="22" customHeight="1">
      <x:c r="A19" s="61" t="str">
        <x:v>60946</x:v>
      </x:c>
      <x:c r="B19" s="62" t="n">
        <x:v>46250.05650462963</x:v>
      </x:c>
      <x:c r="C19" s="50" t="str">
        <x:v>KOÏVOGUI</x:v>
      </x:c>
      <x:c r="D19" s="50" t="str">
        <x:v>Pévé</x:v>
      </x:c>
      <x:c r="E19" s="60" t="n">
        <x:v>35</x:v>
      </x:c>
      <x:c r="F19" s="50" t="str">
        <x:v>Conakry</x:v>
      </x:c>
      <x:c r="G19" s="61" t="str">
        <x:v>620 912 490</x:v>
      </x:c>
      <x:c r="H19" s="50" t="str">
        <x:v>Autre</x:v>
      </x:c>
      <x:c r="I19" s="60" t="str">
        <x:v>Oui</x:v>
      </x:c>
      <x:c r="J19" s="50" t="str">
        <x:v>Retenue</x:v>
      </x:c>
      <x:c r="K19" s="61" t="str">
        <x:v>60946</x:v>
      </x:c>
      <x:c r="L19" s="63" t="str"/>
    </x:row>
    <x:row r="20" ht="22" customHeight="1">
      <x:c r="A20" s="61" t="str">
        <x:v>60947</x:v>
      </x:c>
      <x:c r="B20" s="62" t="n">
        <x:v>46250.04944444444</x:v>
      </x:c>
      <x:c r="C20" s="50" t="str">
        <x:v>Kalivogui</x:v>
      </x:c>
      <x:c r="D20" s="50" t="str">
        <x:v>Jacques</x:v>
      </x:c>
      <x:c r="E20" s="60" t="n">
        <x:v>30</x:v>
      </x:c>
      <x:c r="F20" s="50" t="str">
        <x:v>Mamou</x:v>
      </x:c>
      <x:c r="G20" s="61" t="str">
        <x:v>+224 661 286 020</x:v>
      </x:c>
      <x:c r="H20" s="50" t="str">
        <x:v>Salarié</x:v>
      </x:c>
      <x:c r="I20" s="60" t="str">
        <x:v>Oui</x:v>
      </x:c>
      <x:c r="J20" s="50" t="str">
        <x:v>Retenue</x:v>
      </x:c>
      <x:c r="K20" s="61" t="str">
        <x:v>60947</x:v>
      </x:c>
      <x:c r="L20" s="63" t="str"/>
    </x:row>
    <x:row r="21" ht="22" customHeight="1">
      <x:c r="A21" s="61" t="str">
        <x:v>60948</x:v>
      </x:c>
      <x:c r="B21" s="62" t="n">
        <x:v>46250.04670138889</x:v>
      </x:c>
      <x:c r="C21" s="50" t="str">
        <x:v>Koïvogui</x:v>
      </x:c>
      <x:c r="D21" s="50" t="str">
        <x:v>Justin kékoura</x:v>
      </x:c>
      <x:c r="E21" s="60" t="n">
        <x:v>32</x:v>
      </x:c>
      <x:c r="F21" s="50" t="str">
        <x:v>Conakry</x:v>
      </x:c>
      <x:c r="G21" s="61" t="str">
        <x:v>612 872 155</x:v>
      </x:c>
      <x:c r="H21" s="50" t="str">
        <x:v>Autre</x:v>
      </x:c>
      <x:c r="I21" s="60" t="str">
        <x:v>Oui</x:v>
      </x:c>
      <x:c r="J21" s="50" t="str">
        <x:v>Retenue</x:v>
      </x:c>
      <x:c r="K21" s="61" t="str">
        <x:v>60948</x:v>
      </x:c>
      <x:c r="L21" s="63" t="str"/>
    </x:row>
    <x:row r="22" ht="22" customHeight="1">
      <x:c r="A22" s="61" t="str">
        <x:v>60949</x:v>
      </x:c>
      <x:c r="B22" s="62" t="n">
        <x:v>46250.02520833333</x:v>
      </x:c>
      <x:c r="C22" s="50" t="str">
        <x:v>Koivogui</x:v>
      </x:c>
      <x:c r="D22" s="50" t="str">
        <x:v>Simon pierre</x:v>
      </x:c>
      <x:c r="E22" s="60" t="n">
        <x:v>27</x:v>
      </x:c>
      <x:c r="F22" s="50" t="str">
        <x:v>Conakry</x:v>
      </x:c>
      <x:c r="G22" s="61" t="str">
        <x:v>625 058 109</x:v>
      </x:c>
      <x:c r="H22" s="50" t="str">
        <x:v>Salarié</x:v>
      </x:c>
      <x:c r="I22" s="60" t="str">
        <x:v>Oui</x:v>
      </x:c>
      <x:c r="J22" s="50" t="str">
        <x:v>Retenue</x:v>
      </x:c>
      <x:c r="K22" s="61" t="str">
        <x:v>60949</x:v>
      </x:c>
      <x:c r="L22" s="63" t="str"/>
    </x:row>
    <x:row r="23" ht="22" customHeight="1">
      <x:c r="A23" s="61" t="str">
        <x:v>60950</x:v>
      </x:c>
      <x:c r="B23" s="62" t="n">
        <x:v>46250.01828703703</x:v>
      </x:c>
      <x:c r="C23" s="50" t="str">
        <x:v>Koïvogui</x:v>
      </x:c>
      <x:c r="D23" s="50" t="str">
        <x:v>Bernard</x:v>
      </x:c>
      <x:c r="E23" s="60" t="n">
        <x:v>26</x:v>
      </x:c>
      <x:c r="F23" s="50" t="str">
        <x:v>Kindia</x:v>
      </x:c>
      <x:c r="G23" s="61" t="str">
        <x:v>626 426 403</x:v>
      </x:c>
      <x:c r="H23" s="50" t="str">
        <x:v>Étudiant</x:v>
      </x:c>
      <x:c r="I23" s="60" t="str">
        <x:v>Oui</x:v>
      </x:c>
      <x:c r="J23" s="50" t="str">
        <x:v>Retenue</x:v>
      </x:c>
      <x:c r="K23" s="61" t="str">
        <x:v>60950</x:v>
      </x:c>
      <x:c r="L23" s="63" t="str"/>
    </x:row>
    <x:row r="24" ht="22" customHeight="1">
      <x:c r="A24" s="61" t="str">
        <x:v>60951</x:v>
      </x:c>
      <x:c r="B24" s="62" t="n">
        <x:v>46250.017592592594</x:v>
      </x:c>
      <x:c r="C24" s="50" t="str">
        <x:v>Koïvogui</x:v>
      </x:c>
      <x:c r="D24" s="50" t="str">
        <x:v>Barrès</x:v>
      </x:c>
      <x:c r="E24" s="60" t="n">
        <x:v>24</x:v>
      </x:c>
      <x:c r="F24" s="50" t="str">
        <x:v>Kindia</x:v>
      </x:c>
      <x:c r="G24" s="61" t="str">
        <x:v>626 108 181</x:v>
      </x:c>
      <x:c r="H24" s="50" t="str">
        <x:v>Étudiant</x:v>
      </x:c>
      <x:c r="I24" s="60" t="str">
        <x:v>Oui</x:v>
      </x:c>
      <x:c r="J24" s="50" t="str">
        <x:v>Retenue</x:v>
      </x:c>
      <x:c r="K24" s="61" t="str">
        <x:v>60951</x:v>
      </x:c>
      <x:c r="L24" s="63" t="str"/>
    </x:row>
    <x:row r="25" ht="22" customHeight="1">
      <x:c r="A25" s="61" t="str">
        <x:v>60952</x:v>
      </x:c>
      <x:c r="B25" s="62" t="n">
        <x:v>46250.01206018519</x:v>
      </x:c>
      <x:c r="C25" s="50" t="str">
        <x:v>Koivogui</x:v>
      </x:c>
      <x:c r="D25" s="50" t="str">
        <x:v>Emile</x:v>
      </x:c>
      <x:c r="E25" s="60" t="n">
        <x:v>22</x:v>
      </x:c>
      <x:c r="F25" s="50" t="str">
        <x:v>Kindia</x:v>
      </x:c>
      <x:c r="G25" s="61" t="str">
        <x:v>628 589 295</x:v>
      </x:c>
      <x:c r="H25" s="50" t="str">
        <x:v>Étudiant</x:v>
      </x:c>
      <x:c r="I25" s="60" t="str">
        <x:v>Oui</x:v>
      </x:c>
      <x:c r="J25" s="50" t="str">
        <x:v>Mise à jour antérieure</x:v>
      </x:c>
      <x:c r="K25" s="61" t="str">
        <x:v>61432</x:v>
      </x:c>
      <x:c r="L25" s="63" t="str">
        <x:v>Réponse remplacée par celle du 23 août</x:v>
      </x:c>
    </x:row>
    <x:row r="26" ht="22" customHeight="1">
      <x:c r="A26" s="61" t="str">
        <x:v>60953</x:v>
      </x:c>
      <x:c r="B26" s="62" t="n">
        <x:v>46250.011979166666</x:v>
      </x:c>
      <x:c r="C26" s="50" t="str">
        <x:v>Guilavogui</x:v>
      </x:c>
      <x:c r="D26" s="50" t="str">
        <x:v>Barrè</x:v>
      </x:c>
      <x:c r="E26" s="60" t="n">
        <x:v>29</x:v>
      </x:c>
      <x:c r="F26" s="50" t="str">
        <x:v>Mamou</x:v>
      </x:c>
      <x:c r="G26" s="61" t="str">
        <x:v>+224 613 414 251</x:v>
      </x:c>
      <x:c r="H26" s="50" t="str">
        <x:v>Agriculteur</x:v>
      </x:c>
      <x:c r="I26" s="60" t="str">
        <x:v>Oui</x:v>
      </x:c>
      <x:c r="J26" s="50" t="str">
        <x:v>Retenue</x:v>
      </x:c>
      <x:c r="K26" s="61" t="str">
        <x:v>60953</x:v>
      </x:c>
      <x:c r="L26" s="63" t="str"/>
    </x:row>
    <x:row r="27" ht="22" customHeight="1">
      <x:c r="A27" s="61" t="str">
        <x:v>60954</x:v>
      </x:c>
      <x:c r="B27" s="62" t="n">
        <x:v>46250.011469907404</x:v>
      </x:c>
      <x:c r="C27" s="50" t="str">
        <x:v>Béavogui</x:v>
      </x:c>
      <x:c r="D27" s="50" t="str">
        <x:v>Foromo</x:v>
      </x:c>
      <x:c r="E27" s="60" t="n">
        <x:v>22</x:v>
      </x:c>
      <x:c r="F27" s="50" t="str">
        <x:v>Beyla</x:v>
      </x:c>
      <x:c r="G27" s="61" t="str">
        <x:v>611 353 476</x:v>
      </x:c>
      <x:c r="H27" s="50" t="str">
        <x:v>Élève/Lycéen</x:v>
      </x:c>
      <x:c r="I27" s="60" t="str">
        <x:v>Oui</x:v>
      </x:c>
      <x:c r="J27" s="50" t="str">
        <x:v>Mise à jour antérieure</x:v>
      </x:c>
      <x:c r="K27" s="61" t="str">
        <x:v>60794</x:v>
      </x:c>
      <x:c r="L27" s="63" t="str">
        <x:v>Réponse remplacée par celle du 20 août</x:v>
      </x:c>
    </x:row>
    <x:row r="28" ht="22" customHeight="1">
      <x:c r="A28" s="61" t="str">
        <x:v>60955</x:v>
      </x:c>
      <x:c r="B28" s="62" t="n">
        <x:v>46250.01126157407</x:v>
      </x:c>
      <x:c r="C28" s="50" t="str">
        <x:v>BEAVOGUI</x:v>
      </x:c>
      <x:c r="D28" s="50" t="str">
        <x:v>GBADE</x:v>
      </x:c>
      <x:c r="E28" s="60" t="n">
        <x:v>36</x:v>
      </x:c>
      <x:c r="F28" s="50" t="str">
        <x:v>CONAKRY</x:v>
      </x:c>
      <x:c r="G28" s="61" t="str">
        <x:v>+224 624 737 188</x:v>
      </x:c>
      <x:c r="H28" s="50" t="str">
        <x:v>Salarié</x:v>
      </x:c>
      <x:c r="I28" s="60" t="str">
        <x:v>Oui</x:v>
      </x:c>
      <x:c r="J28" s="50" t="str">
        <x:v>Retenue</x:v>
      </x:c>
      <x:c r="K28" s="61" t="str">
        <x:v>60955</x:v>
      </x:c>
      <x:c r="L28" s="63" t="str"/>
    </x:row>
    <x:row r="29" ht="22" customHeight="1">
      <x:c r="A29" s="61" t="str">
        <x:v>60956</x:v>
      </x:c>
      <x:c r="B29" s="62" t="n">
        <x:v>46250.009247685186</x:v>
      </x:c>
      <x:c r="C29" s="50" t="str">
        <x:v>koivogui</x:v>
      </x:c>
      <x:c r="D29" s="50" t="str">
        <x:v>Barre Moise</x:v>
      </x:c>
      <x:c r="E29" s="60" t="n">
        <x:v>24</x:v>
      </x:c>
      <x:c r="F29" s="50" t="str">
        <x:v>Beyla</x:v>
      </x:c>
      <x:c r="G29" s="61" t="str">
        <x:v>+224 627 461 940</x:v>
      </x:c>
      <x:c r="H29" s="50" t="str">
        <x:v>En recherche d’emploi</x:v>
      </x:c>
      <x:c r="I29" s="60" t="str">
        <x:v>Oui</x:v>
      </x:c>
      <x:c r="J29" s="50" t="str">
        <x:v>Mise à jour antérieure</x:v>
      </x:c>
      <x:c r="K29" s="61" t="str">
        <x:v>60793</x:v>
      </x:c>
      <x:c r="L29" s="63" t="str">
        <x:v>Âge déclaré 24 ; remplacé par 25 le 20 août</x:v>
      </x:c>
    </x:row>
    <x:row r="30" ht="22" customHeight="1">
      <x:c r="A30" s="61" t="str">
        <x:v>60957</x:v>
      </x:c>
      <x:c r="B30" s="62" t="n">
        <x:v>46250.00355324074</x:v>
      </x:c>
      <x:c r="C30" s="50" t="str">
        <x:v>BEAVOGUI</x:v>
      </x:c>
      <x:c r="D30" s="50" t="str">
        <x:v>Barre</x:v>
      </x:c>
      <x:c r="E30" s="60" t="n">
        <x:v>24</x:v>
      </x:c>
      <x:c r="F30" s="50" t="str">
        <x:v>France</x:v>
      </x:c>
      <x:c r="G30" s="61" t="str">
        <x:v>07 58 07 09 22</x:v>
      </x:c>
      <x:c r="H30" s="50" t="str">
        <x:v>Étudiant</x:v>
      </x:c>
      <x:c r="I30" s="60" t="str">
        <x:v>Oui</x:v>
      </x:c>
      <x:c r="J30" s="50" t="str">
        <x:v>Retenue</x:v>
      </x:c>
      <x:c r="K30" s="61" t="str">
        <x:v>60957</x:v>
      </x:c>
      <x:c r="L30" s="63" t="str"/>
    </x:row>
  </x:sheetData>
  <x:mergeCells>
    <x:mergeCell ref="A1:L1"/>
    <x:mergeCell ref="A2:L2"/>
  </x:mergeCells>
  <x:conditionalFormatting sqref="J5:J30">
    <x:cfRule type="containsText" dxfId="0" priority="1" operator="containsText" text="Doublon"/>
    <x:cfRule type="containsText" dxfId="1" priority="2" operator="containsText" text="Mise à jour antérieure"/>
  </x:conditionalFormatting>
  <x:pageMargins left="0.7" right="0.7" top="0.75" bottom="0.75" header="0.3" footer="0.3"/>
  <x:tableParts count="1">
    <x:tablePart xmlns:r="http://schemas.openxmlformats.org/officeDocument/2006/relationships" r:id="R88c48230c5464943"/>
  </x:tableParts>
</x:worksheet>
</file>